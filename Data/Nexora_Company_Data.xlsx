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etails" sheetId="1" state="visible" r:id="rId3"/>
    <sheet name="Tickets" sheetId="2" state="visible" r:id="rId4"/>
    <sheet name="Project Budge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<sst xmlns="http://schemas.openxmlformats.org/spreadsheetml/2006/main" count="410" uniqueCount="247">
  <si>
    <t xml:space="preserve">Employee ID</t>
  </si>
  <si>
    <t xml:space="preserve">Name</t>
  </si>
  <si>
    <t xml:space="preserve">Role</t>
  </si>
  <si>
    <t xml:space="preserve">Department</t>
  </si>
  <si>
    <t xml:space="preserve">Team / Project</t>
  </si>
  <si>
    <t xml:space="preserve">Reports To</t>
  </si>
  <si>
    <t xml:space="preserve">Email</t>
  </si>
  <si>
    <t xml:space="preserve">Join Date</t>
  </si>
  <si>
    <t xml:space="preserve">Location</t>
  </si>
  <si>
    <t xml:space="preserve">Skills</t>
  </si>
  <si>
    <t xml:space="preserve">EMP001</t>
  </si>
  <si>
    <t xml:space="preserve">Ritu Chawla</t>
  </si>
  <si>
    <t xml:space="preserve">CEO &amp; Co-Founder</t>
  </si>
  <si>
    <t xml:space="preserve">Leadership</t>
  </si>
  <si>
    <t xml:space="preserve">Company-wide</t>
  </si>
  <si>
    <t xml:space="preserve">-</t>
  </si>
  <si>
    <t xml:space="preserve">ritu.chawla@nexora.io</t>
  </si>
  <si>
    <t xml:space="preserve">2021-01-10</t>
  </si>
  <si>
    <t xml:space="preserve">Bengaluru</t>
  </si>
  <si>
    <t xml:space="preserve">Strategy, Fundraising, Company Vision</t>
  </si>
  <si>
    <t xml:space="preserve">EMP002</t>
  </si>
  <si>
    <t xml:space="preserve">Rahul Bose</t>
  </si>
  <si>
    <t xml:space="preserve">CTO &amp; Co-Founder</t>
  </si>
  <si>
    <t xml:space="preserve">rahul.bose@nexora.io</t>
  </si>
  <si>
    <t xml:space="preserve">System Architecture, Distributed Systems</t>
  </si>
  <si>
    <t xml:space="preserve">EMP003</t>
  </si>
  <si>
    <t xml:space="preserve">Vikram Choudhary</t>
  </si>
  <si>
    <t xml:space="preserve">Engineering Manager</t>
  </si>
  <si>
    <t xml:space="preserve">Engineering</t>
  </si>
  <si>
    <t xml:space="preserve">Platform &amp; Mobile</t>
  </si>
  <si>
    <t xml:space="preserve">vikram.choudhary@nexora.io</t>
  </si>
  <si>
    <t xml:space="preserve">2021-06-15</t>
  </si>
  <si>
    <t xml:space="preserve">Team Leadership, DevOps, Delivery Management</t>
  </si>
  <si>
    <t xml:space="preserve">EMP004</t>
  </si>
  <si>
    <t xml:space="preserve">Raj Malhotra</t>
  </si>
  <si>
    <t xml:space="preserve">Staff Engineer</t>
  </si>
  <si>
    <t xml:space="preserve">Atlas (Auth Service)</t>
  </si>
  <si>
    <t xml:space="preserve">raj.malhotra@nexora.io</t>
  </si>
  <si>
    <t xml:space="preserve">2021-08-01</t>
  </si>
  <si>
    <t xml:space="preserve">Backend Systems, Redis, Authentication, Cypher</t>
  </si>
  <si>
    <t xml:space="preserve">EMP005</t>
  </si>
  <si>
    <t xml:space="preserve">Aisha Verma</t>
  </si>
  <si>
    <t xml:space="preserve">Senior Backend Engineer</t>
  </si>
  <si>
    <t xml:space="preserve">aisha.verma@nexora.io</t>
  </si>
  <si>
    <t xml:space="preserve">2022-02-14</t>
  </si>
  <si>
    <t xml:space="preserve">Python, Backend APIs, Security</t>
  </si>
  <si>
    <t xml:space="preserve">EMP006</t>
  </si>
  <si>
    <t xml:space="preserve">Priya Nair</t>
  </si>
  <si>
    <t xml:space="preserve">Backend Engineer</t>
  </si>
  <si>
    <t xml:space="preserve">priya.nair@nexora.io</t>
  </si>
  <si>
    <t xml:space="preserve">2023-03-20</t>
  </si>
  <si>
    <t xml:space="preserve">Pune</t>
  </si>
  <si>
    <t xml:space="preserve">Python, API Design, OAuth2</t>
  </si>
  <si>
    <t xml:space="preserve">EMP007</t>
  </si>
  <si>
    <t xml:space="preserve">Karan Singh</t>
  </si>
  <si>
    <t xml:space="preserve">Frontend Engineer</t>
  </si>
  <si>
    <t xml:space="preserve">Phoenix (Dashboard)</t>
  </si>
  <si>
    <t xml:space="preserve">karan.singh@nexora.io</t>
  </si>
  <si>
    <t xml:space="preserve">2022-05-10</t>
  </si>
  <si>
    <t xml:space="preserve">React, TypeScript, Accessibility</t>
  </si>
  <si>
    <t xml:space="preserve">EMP008</t>
  </si>
  <si>
    <t xml:space="preserve">Meera Iyer</t>
  </si>
  <si>
    <t xml:space="preserve">meera.iyer@nexora.io</t>
  </si>
  <si>
    <t xml:space="preserve">2022-09-01</t>
  </si>
  <si>
    <t xml:space="preserve">React Performance Optimization, TypeScript, Data Virtualization</t>
  </si>
  <si>
    <t xml:space="preserve">EMP009</t>
  </si>
  <si>
    <t xml:space="preserve">Devansh Gupta</t>
  </si>
  <si>
    <t xml:space="preserve">DevOps Engineer</t>
  </si>
  <si>
    <t xml:space="preserve">Platform Infra</t>
  </si>
  <si>
    <t xml:space="preserve">devansh.gupta@nexora.io</t>
  </si>
  <si>
    <t xml:space="preserve">2022-01-15</t>
  </si>
  <si>
    <t xml:space="preserve">Hyderabad</t>
  </si>
  <si>
    <t xml:space="preserve">Kubernetes, AWS, CI/CD Pipelines</t>
  </si>
  <si>
    <t xml:space="preserve">EMP010</t>
  </si>
  <si>
    <t xml:space="preserve">Ananya Reddy</t>
  </si>
  <si>
    <t xml:space="preserve">Mobile Engineer</t>
  </si>
  <si>
    <t xml:space="preserve">Comet (Mobile App)</t>
  </si>
  <si>
    <t xml:space="preserve">ananya.reddy@nexora.io</t>
  </si>
  <si>
    <t xml:space="preserve">2023-06-01</t>
  </si>
  <si>
    <t xml:space="preserve">Flutter, iOS, Android, Push Notifications</t>
  </si>
  <si>
    <t xml:space="preserve">EMP011</t>
  </si>
  <si>
    <t xml:space="preserve">Sara Khan</t>
  </si>
  <si>
    <t xml:space="preserve">Product Manager</t>
  </si>
  <si>
    <t xml:space="preserve">Product</t>
  </si>
  <si>
    <t xml:space="preserve">sara.khan@nexora.io</t>
  </si>
  <si>
    <t xml:space="preserve">2021-11-01</t>
  </si>
  <si>
    <t xml:space="preserve">Roadmapping, Auth &amp; Security Products</t>
  </si>
  <si>
    <t xml:space="preserve">EMP012</t>
  </si>
  <si>
    <t xml:space="preserve">Nikhil Bhatt</t>
  </si>
  <si>
    <t xml:space="preserve">nikhil.bhatt@nexora.io</t>
  </si>
  <si>
    <t xml:space="preserve">2022-03-01</t>
  </si>
  <si>
    <t xml:space="preserve">Mumbai</t>
  </si>
  <si>
    <t xml:space="preserve">Analytics Products, UX Research</t>
  </si>
  <si>
    <t xml:space="preserve">EMP013</t>
  </si>
  <si>
    <t xml:space="preserve">Farah Ansari</t>
  </si>
  <si>
    <t xml:space="preserve">farah.ansari@nexora.io</t>
  </si>
  <si>
    <t xml:space="preserve">2023-01-10</t>
  </si>
  <si>
    <t xml:space="preserve">Mobile Product Strategy, Growth</t>
  </si>
  <si>
    <t xml:space="preserve">EMP014</t>
  </si>
  <si>
    <t xml:space="preserve">Fatima Sheikh</t>
  </si>
  <si>
    <t xml:space="preserve">Product Designer</t>
  </si>
  <si>
    <t xml:space="preserve">Design</t>
  </si>
  <si>
    <t xml:space="preserve">fatima.sheikh@nexora.io</t>
  </si>
  <si>
    <t xml:space="preserve">2022-07-01</t>
  </si>
  <si>
    <t xml:space="preserve">UI Design, Figma, Design Systems</t>
  </si>
  <si>
    <t xml:space="preserve">EMP015</t>
  </si>
  <si>
    <t xml:space="preserve">Arjun Kapoor</t>
  </si>
  <si>
    <t xml:space="preserve">UX Designer</t>
  </si>
  <si>
    <t xml:space="preserve">arjun.kapoor@nexora.io</t>
  </si>
  <si>
    <t xml:space="preserve">2023-02-15</t>
  </si>
  <si>
    <t xml:space="preserve">UX Research, Prototyping, Usability Testing</t>
  </si>
  <si>
    <t xml:space="preserve">EMP016</t>
  </si>
  <si>
    <t xml:space="preserve">Neha Joshi</t>
  </si>
  <si>
    <t xml:space="preserve">Sales Lead</t>
  </si>
  <si>
    <t xml:space="preserve">Sales</t>
  </si>
  <si>
    <t xml:space="preserve">neha.joshi@nexora.io</t>
  </si>
  <si>
    <t xml:space="preserve">2021-09-01</t>
  </si>
  <si>
    <t xml:space="preserve">Enterprise Sales, Negotiation</t>
  </si>
  <si>
    <t xml:space="preserve">EMP017</t>
  </si>
  <si>
    <t xml:space="preserve">Rohit Sharma</t>
  </si>
  <si>
    <t xml:space="preserve">Account Executive</t>
  </si>
  <si>
    <t xml:space="preserve">rohit.sharma@nexora.io</t>
  </si>
  <si>
    <t xml:space="preserve">2022-11-01</t>
  </si>
  <si>
    <t xml:space="preserve">Delhi</t>
  </si>
  <si>
    <t xml:space="preserve">B2B Sales, Client Relations</t>
  </si>
  <si>
    <t xml:space="preserve">EMP018</t>
  </si>
  <si>
    <t xml:space="preserve">Divya Menon</t>
  </si>
  <si>
    <t xml:space="preserve">divya.menon@nexora.io</t>
  </si>
  <si>
    <t xml:space="preserve">2023-04-01</t>
  </si>
  <si>
    <t xml:space="preserve">Chennai</t>
  </si>
  <si>
    <t xml:space="preserve">SaaS Sales, Renewals</t>
  </si>
  <si>
    <t xml:space="preserve">EMP019</t>
  </si>
  <si>
    <t xml:space="preserve">Suresh Pillai</t>
  </si>
  <si>
    <t xml:space="preserve">HR Manager</t>
  </si>
  <si>
    <t xml:space="preserve">HR</t>
  </si>
  <si>
    <t xml:space="preserve">suresh.pillai@nexora.io</t>
  </si>
  <si>
    <t xml:space="preserve">2021-05-01</t>
  </si>
  <si>
    <t xml:space="preserve">Recruitment, Policy, Employee Relations</t>
  </si>
  <si>
    <t xml:space="preserve">EMP020</t>
  </si>
  <si>
    <t xml:space="preserve">Kavita Desai</t>
  </si>
  <si>
    <t xml:space="preserve">Customer Support Lead</t>
  </si>
  <si>
    <t xml:space="preserve">Support</t>
  </si>
  <si>
    <t xml:space="preserve">kavita.desai@nexora.io</t>
  </si>
  <si>
    <t xml:space="preserve">2022-04-01</t>
  </si>
  <si>
    <t xml:space="preserve">Customer Success, Ticket Triage, Escalations</t>
  </si>
  <si>
    <t xml:space="preserve">Ticket ID</t>
  </si>
  <si>
    <t xml:space="preserve">Title</t>
  </si>
  <si>
    <t xml:space="preserve">Description</t>
  </si>
  <si>
    <t xml:space="preserve">Reporter</t>
  </si>
  <si>
    <t xml:space="preserve">Assignee</t>
  </si>
  <si>
    <t xml:space="preserve">Project</t>
  </si>
  <si>
    <t xml:space="preserve">Priority</t>
  </si>
  <si>
    <t xml:space="preserve">Status</t>
  </si>
  <si>
    <t xml:space="preserve">Date Raised</t>
  </si>
  <si>
    <t xml:space="preserve">ATL-101</t>
  </si>
  <si>
    <t xml:space="preserve">Implement OAuth2 refresh token rotation</t>
  </si>
  <si>
    <t xml:space="preserve">Rotate refresh tokens on each use to reduce replay-attack risk for third-party integrations.</t>
  </si>
  <si>
    <t xml:space="preserve">Atlas</t>
  </si>
  <si>
    <t xml:space="preserve">Medium</t>
  </si>
  <si>
    <t xml:space="preserve">Done</t>
  </si>
  <si>
    <t xml:space="preserve">2026-01-12</t>
  </si>
  <si>
    <t xml:space="preserve">ATL-102</t>
  </si>
  <si>
    <t xml:space="preserve">Add rate limiting to login endpoint</t>
  </si>
  <si>
    <t xml:space="preserve">Brute-force attempts detected in security scan; add per-IP rate limiting on /auth/login.</t>
  </si>
  <si>
    <t xml:space="preserve">2026-01-20</t>
  </si>
  <si>
    <t xml:space="preserve">ATL-103</t>
  </si>
  <si>
    <t xml:space="preserve">Migrate password hashing to Argon2</t>
  </si>
  <si>
    <t xml:space="preserve">Move off bcrypt to Argon2id per updated security audit recommendation.</t>
  </si>
  <si>
    <t xml:space="preserve">High</t>
  </si>
  <si>
    <t xml:space="preserve">In Progress</t>
  </si>
  <si>
    <t xml:space="preserve">2026-02-05</t>
  </si>
  <si>
    <t xml:space="preserve">ATL-104</t>
  </si>
  <si>
    <t xml:space="preserve">Login latency spikes during peak hours</t>
  </si>
  <si>
    <t xml:space="preserve">Users reporting 2-3 second delays logging in between 9-10 AM IST. Root cause traced to a full-table DB lookup on every session check.</t>
  </si>
  <si>
    <t xml:space="preserve">2026-03-08</t>
  </si>
  <si>
    <t xml:space="preserve">ATL-105</t>
  </si>
  <si>
    <t xml:space="preserve">Session expiry inconsistent across devices</t>
  </si>
  <si>
    <t xml:space="preserve">A user logged in on mobile stays authenticated after web session expires. Needs unified session TTL.</t>
  </si>
  <si>
    <t xml:space="preserve">Low</t>
  </si>
  <si>
    <t xml:space="preserve">Open</t>
  </si>
  <si>
    <t xml:space="preserve">2026-03-11</t>
  </si>
  <si>
    <t xml:space="preserve">ATL-106</t>
  </si>
  <si>
    <t xml:space="preserve">SSO integration request from enterprise client</t>
  </si>
  <si>
    <t xml:space="preserve">Client (via Neha Joshi) requesting SAML-based SSO for their 500-seat contract renewal.</t>
  </si>
  <si>
    <t xml:space="preserve">2026-03-14</t>
  </si>
  <si>
    <t xml:space="preserve">PHX-201</t>
  </si>
  <si>
    <t xml:space="preserve">Dashboard report load time exceeds 8s for large datasets</t>
  </si>
  <si>
    <t xml:space="preserve">Three enterprise customers report reports with 50k+ rows take 8-10 seconds to render, flagged first in Slack #phoenix-project.</t>
  </si>
  <si>
    <t xml:space="preserve">Phoenix</t>
  </si>
  <si>
    <t xml:space="preserve">2026-03-09</t>
  </si>
  <si>
    <t xml:space="preserve">PHX-202</t>
  </si>
  <si>
    <t xml:space="preserve">Export to CSV button broken on Safari</t>
  </si>
  <si>
    <t xml:space="preserve">Clicking export does nothing on Safari 17; works fine on Chrome/Firefox.</t>
  </si>
  <si>
    <t xml:space="preserve">2026-02-18</t>
  </si>
  <si>
    <t xml:space="preserve">PHX-203</t>
  </si>
  <si>
    <t xml:space="preserve">Add dark mode to dashboard</t>
  </si>
  <si>
    <t xml:space="preserve">Design has requested dark mode support as part of the Phoenix visual refresh.</t>
  </si>
  <si>
    <t xml:space="preserve">2026-03-01</t>
  </si>
  <si>
    <t xml:space="preserve">PHX-204</t>
  </si>
  <si>
    <t xml:space="preserve">Chart tooltips misaligned on mobile view</t>
  </si>
  <si>
    <t xml:space="preserve">Tooltips render off-screen on viewports under 400px width.</t>
  </si>
  <si>
    <t xml:space="preserve">2026-03-06</t>
  </si>
  <si>
    <t xml:space="preserve">PHX-205</t>
  </si>
  <si>
    <t xml:space="preserve">Real-time data refresh lag on analytics widget</t>
  </si>
  <si>
    <t xml:space="preserve">Live widget updates lag by 15-20s behind actual event stream during high traffic.</t>
  </si>
  <si>
    <t xml:space="preserve">2026-03-10</t>
  </si>
  <si>
    <t xml:space="preserve">PHX-206</t>
  </si>
  <si>
    <t xml:space="preserve">Access control bug: viewer role can edit reports</t>
  </si>
  <si>
    <t xml:space="preserve">Security review found that users with 'Viewer' role can still edit and delete shared reports.</t>
  </si>
  <si>
    <t xml:space="preserve">2026-02-22</t>
  </si>
  <si>
    <t xml:space="preserve">CMT-301</t>
  </si>
  <si>
    <t xml:space="preserve">Push notifications not received on Android 14</t>
  </si>
  <si>
    <t xml:space="preserve">Users on Android 14 report zero push notifications since the last OS update.</t>
  </si>
  <si>
    <t xml:space="preserve">Comet</t>
  </si>
  <si>
    <t xml:space="preserve">2026-03-07</t>
  </si>
  <si>
    <t xml:space="preserve">CMT-302</t>
  </si>
  <si>
    <t xml:space="preserve">App crashes on onboarding screen for new users</t>
  </si>
  <si>
    <t xml:space="preserve">Crash on step 3 of onboarding for ~12% of new installs, per crash analytics.</t>
  </si>
  <si>
    <t xml:space="preserve">2026-02-10</t>
  </si>
  <si>
    <t xml:space="preserve">CMT-303</t>
  </si>
  <si>
    <t xml:space="preserve">Biometric login not working on iOS</t>
  </si>
  <si>
    <t xml:space="preserve">Face ID prompt appears but never authenticates successfully on iOS 18.</t>
  </si>
  <si>
    <t xml:space="preserve">2026-03-13</t>
  </si>
  <si>
    <t xml:space="preserve">CMT-304</t>
  </si>
  <si>
    <t xml:space="preserve">App store rejection - privacy policy link missing</t>
  </si>
  <si>
    <t xml:space="preserve">Apple rejected v2.3 submission citing a missing privacy policy link in the App Store listing.</t>
  </si>
  <si>
    <t xml:space="preserve">2026-01-28</t>
  </si>
  <si>
    <t xml:space="preserve">PLT-401</t>
  </si>
  <si>
    <t xml:space="preserve">CI/CD pipeline failing intermittently on deploy</t>
  </si>
  <si>
    <t xml:space="preserve">Deploys fail roughly 1 in 5 times with a flaky Docker layer-caching error.</t>
  </si>
  <si>
    <t xml:space="preserve">Platform</t>
  </si>
  <si>
    <t xml:space="preserve">2026-03-04</t>
  </si>
  <si>
    <t xml:space="preserve">SUP-501</t>
  </si>
  <si>
    <t xml:space="preserve">Enterprise client unable to reset password via email</t>
  </si>
  <si>
    <t xml:space="preserve">Password reset emails not arriving for a client on a custom domain; likely SPF/DKIM misconfiguration or a downstream Atlas bug.</t>
  </si>
  <si>
    <t xml:space="preserve">2026-02-27</t>
  </si>
  <si>
    <t xml:space="preserve">Sponsor / Approver</t>
  </si>
  <si>
    <t xml:space="preserve">Project Manager</t>
  </si>
  <si>
    <t xml:space="preserve">Quarter</t>
  </si>
  <si>
    <t xml:space="preserve">Budget (INR)</t>
  </si>
  <si>
    <t xml:space="preserve">Spent to Date (INR)</t>
  </si>
  <si>
    <t xml:space="preserve">Remaining (INR)</t>
  </si>
  <si>
    <t xml:space="preserve">Rahul Bose (CTO)</t>
  </si>
  <si>
    <t xml:space="preserve">Q1 2026</t>
  </si>
  <si>
    <t xml:space="preserve">Approved</t>
  </si>
  <si>
    <t xml:space="preserve">Ritu Chawla (CEO)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</si>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</sst>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13</v>
      </c>
      <c r="E3" s="2" t="s">
        <v>14</v>
      </c>
      <c r="F3" s="2" t="s">
        <v>15</v>
      </c>
      <c r="G3" s="2" t="s">
        <v>23</v>
      </c>
      <c r="H3" s="2" t="s">
        <v>17</v>
      </c>
      <c r="I3" s="2" t="s">
        <v>18</v>
      </c>
      <c r="J3" s="2" t="s">
        <v>24</v>
      </c>
    </row>
    <row r="4" customFormat="false" ht="23.8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21</v>
      </c>
      <c r="G4" s="2" t="s">
        <v>30</v>
      </c>
      <c r="H4" s="2" t="s">
        <v>31</v>
      </c>
      <c r="I4" s="2" t="s">
        <v>18</v>
      </c>
      <c r="J4" s="2" t="s">
        <v>32</v>
      </c>
    </row>
    <row r="5" customFormat="false" ht="23.85" hidden="false" customHeight="false" outlineLevel="0" collapsed="false">
      <c r="A5" s="2" t="s">
        <v>33</v>
      </c>
      <c r="B5" s="2" t="s">
        <v>34</v>
      </c>
      <c r="C5" s="2" t="s">
        <v>35</v>
      </c>
      <c r="D5" s="2" t="s">
        <v>28</v>
      </c>
      <c r="E5" s="2" t="s">
        <v>36</v>
      </c>
      <c r="F5" s="2" t="s">
        <v>26</v>
      </c>
      <c r="G5" s="2" t="s">
        <v>37</v>
      </c>
      <c r="H5" s="2" t="s">
        <v>38</v>
      </c>
      <c r="I5" s="2" t="s">
        <v>18</v>
      </c>
      <c r="J5" s="2" t="s">
        <v>39</v>
      </c>
    </row>
    <row r="6" customFormat="false" ht="1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28</v>
      </c>
      <c r="E6" s="2" t="s">
        <v>36</v>
      </c>
      <c r="F6" s="2" t="s">
        <v>34</v>
      </c>
      <c r="G6" s="2" t="s">
        <v>43</v>
      </c>
      <c r="H6" s="2" t="s">
        <v>44</v>
      </c>
      <c r="I6" s="2" t="s">
        <v>18</v>
      </c>
      <c r="J6" s="2" t="s">
        <v>45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28</v>
      </c>
      <c r="E7" s="2" t="s">
        <v>36</v>
      </c>
      <c r="F7" s="2" t="s">
        <v>34</v>
      </c>
      <c r="G7" s="2" t="s">
        <v>49</v>
      </c>
      <c r="H7" s="2" t="s">
        <v>50</v>
      </c>
      <c r="I7" s="2" t="s">
        <v>51</v>
      </c>
      <c r="J7" s="2" t="s">
        <v>52</v>
      </c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55</v>
      </c>
      <c r="D8" s="2" t="s">
        <v>28</v>
      </c>
      <c r="E8" s="2" t="s">
        <v>56</v>
      </c>
      <c r="F8" s="2" t="s">
        <v>26</v>
      </c>
      <c r="G8" s="2" t="s">
        <v>57</v>
      </c>
      <c r="H8" s="2" t="s">
        <v>58</v>
      </c>
      <c r="I8" s="2" t="s">
        <v>18</v>
      </c>
      <c r="J8" s="2" t="s">
        <v>59</v>
      </c>
    </row>
    <row r="9" customFormat="false" ht="23.85" hidden="false" customHeight="false" outlineLevel="0" collapsed="false">
      <c r="A9" s="2" t="s">
        <v>60</v>
      </c>
      <c r="B9" s="2" t="s">
        <v>61</v>
      </c>
      <c r="C9" s="2" t="s">
        <v>55</v>
      </c>
      <c r="D9" s="2" t="s">
        <v>28</v>
      </c>
      <c r="E9" s="2" t="s">
        <v>56</v>
      </c>
      <c r="F9" s="2" t="s">
        <v>26</v>
      </c>
      <c r="G9" s="2" t="s">
        <v>62</v>
      </c>
      <c r="H9" s="2" t="s">
        <v>63</v>
      </c>
      <c r="I9" s="2" t="s">
        <v>18</v>
      </c>
      <c r="J9" s="2" t="s">
        <v>64</v>
      </c>
    </row>
    <row r="10" customFormat="false" ht="15" hidden="false" customHeight="false" outlineLevel="0" collapsed="false">
      <c r="A10" s="2" t="s">
        <v>65</v>
      </c>
      <c r="B10" s="2" t="s">
        <v>66</v>
      </c>
      <c r="C10" s="2" t="s">
        <v>67</v>
      </c>
      <c r="D10" s="2" t="s">
        <v>28</v>
      </c>
      <c r="E10" s="2" t="s">
        <v>68</v>
      </c>
      <c r="F10" s="2" t="s">
        <v>26</v>
      </c>
      <c r="G10" s="2" t="s">
        <v>69</v>
      </c>
      <c r="H10" s="2" t="s">
        <v>70</v>
      </c>
      <c r="I10" s="2" t="s">
        <v>71</v>
      </c>
      <c r="J10" s="2" t="s">
        <v>72</v>
      </c>
    </row>
    <row r="11" customFormat="false" ht="15" hidden="false" customHeight="false" outlineLevel="0" collapsed="false">
      <c r="A11" s="2" t="s">
        <v>73</v>
      </c>
      <c r="B11" s="2" t="s">
        <v>74</v>
      </c>
      <c r="C11" s="2" t="s">
        <v>75</v>
      </c>
      <c r="D11" s="2" t="s">
        <v>28</v>
      </c>
      <c r="E11" s="2" t="s">
        <v>76</v>
      </c>
      <c r="F11" s="2" t="s">
        <v>26</v>
      </c>
      <c r="G11" s="2" t="s">
        <v>77</v>
      </c>
      <c r="H11" s="2" t="s">
        <v>78</v>
      </c>
      <c r="I11" s="2" t="s">
        <v>71</v>
      </c>
      <c r="J11" s="2" t="s">
        <v>79</v>
      </c>
    </row>
    <row r="12" customFormat="false" ht="15" hidden="false" customHeight="false" outlineLevel="0" collapsed="false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36</v>
      </c>
      <c r="F12" s="2" t="s">
        <v>21</v>
      </c>
      <c r="G12" s="2" t="s">
        <v>84</v>
      </c>
      <c r="H12" s="2" t="s">
        <v>85</v>
      </c>
      <c r="I12" s="2" t="s">
        <v>18</v>
      </c>
      <c r="J12" s="2" t="s">
        <v>86</v>
      </c>
    </row>
    <row r="13" customFormat="false" ht="15" hidden="false" customHeight="false" outlineLevel="0" collapsed="false">
      <c r="A13" s="2" t="s">
        <v>87</v>
      </c>
      <c r="B13" s="2" t="s">
        <v>88</v>
      </c>
      <c r="C13" s="2" t="s">
        <v>82</v>
      </c>
      <c r="D13" s="2" t="s">
        <v>83</v>
      </c>
      <c r="E13" s="2" t="s">
        <v>56</v>
      </c>
      <c r="F13" s="2" t="s">
        <v>21</v>
      </c>
      <c r="G13" s="2" t="s">
        <v>89</v>
      </c>
      <c r="H13" s="2" t="s">
        <v>90</v>
      </c>
      <c r="I13" s="2" t="s">
        <v>91</v>
      </c>
      <c r="J13" s="2" t="s">
        <v>92</v>
      </c>
    </row>
    <row r="14" customFormat="false" ht="15" hidden="false" customHeight="false" outlineLevel="0" collapsed="false">
      <c r="A14" s="2" t="s">
        <v>93</v>
      </c>
      <c r="B14" s="2" t="s">
        <v>94</v>
      </c>
      <c r="C14" s="2" t="s">
        <v>82</v>
      </c>
      <c r="D14" s="2" t="s">
        <v>83</v>
      </c>
      <c r="E14" s="2" t="s">
        <v>76</v>
      </c>
      <c r="F14" s="2" t="s">
        <v>21</v>
      </c>
      <c r="G14" s="2" t="s">
        <v>95</v>
      </c>
      <c r="H14" s="2" t="s">
        <v>96</v>
      </c>
      <c r="I14" s="2" t="s">
        <v>91</v>
      </c>
      <c r="J14" s="2" t="s">
        <v>97</v>
      </c>
    </row>
    <row r="15" customFormat="false" ht="15" hidden="false" customHeight="false" outlineLevel="0" collapsed="false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56</v>
      </c>
      <c r="F15" s="2" t="s">
        <v>88</v>
      </c>
      <c r="G15" s="2" t="s">
        <v>102</v>
      </c>
      <c r="H15" s="2" t="s">
        <v>103</v>
      </c>
      <c r="I15" s="2" t="s">
        <v>18</v>
      </c>
      <c r="J15" s="2" t="s">
        <v>104</v>
      </c>
    </row>
    <row r="16" customFormat="false" ht="15" hidden="false" customHeight="false" outlineLevel="0" collapsed="false">
      <c r="A16" s="2" t="s">
        <v>105</v>
      </c>
      <c r="B16" s="2" t="s">
        <v>106</v>
      </c>
      <c r="C16" s="2" t="s">
        <v>107</v>
      </c>
      <c r="D16" s="2" t="s">
        <v>101</v>
      </c>
      <c r="E16" s="2" t="s">
        <v>76</v>
      </c>
      <c r="F16" s="2" t="s">
        <v>94</v>
      </c>
      <c r="G16" s="2" t="s">
        <v>108</v>
      </c>
      <c r="H16" s="2" t="s">
        <v>109</v>
      </c>
      <c r="I16" s="2" t="s">
        <v>18</v>
      </c>
      <c r="J16" s="2" t="s">
        <v>110</v>
      </c>
    </row>
    <row r="17" customFormat="false" ht="15" hidden="false" customHeight="false" outlineLevel="0" collapsed="false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14</v>
      </c>
      <c r="F17" s="2" t="s">
        <v>11</v>
      </c>
      <c r="G17" s="2" t="s">
        <v>115</v>
      </c>
      <c r="H17" s="2" t="s">
        <v>116</v>
      </c>
      <c r="I17" s="2" t="s">
        <v>91</v>
      </c>
      <c r="J17" s="2" t="s">
        <v>117</v>
      </c>
    </row>
    <row r="18" customFormat="false" ht="15" hidden="false" customHeight="false" outlineLevel="0" collapsed="false">
      <c r="A18" s="2" t="s">
        <v>118</v>
      </c>
      <c r="B18" s="2" t="s">
        <v>119</v>
      </c>
      <c r="C18" s="2" t="s">
        <v>120</v>
      </c>
      <c r="D18" s="2" t="s">
        <v>114</v>
      </c>
      <c r="E18" s="2" t="s">
        <v>14</v>
      </c>
      <c r="F18" s="2" t="s">
        <v>112</v>
      </c>
      <c r="G18" s="2" t="s">
        <v>121</v>
      </c>
      <c r="H18" s="2" t="s">
        <v>122</v>
      </c>
      <c r="I18" s="2" t="s">
        <v>123</v>
      </c>
      <c r="J18" s="2" t="s">
        <v>124</v>
      </c>
    </row>
    <row r="19" customFormat="false" ht="15" hidden="false" customHeight="false" outlineLevel="0" collapsed="false">
      <c r="A19" s="2" t="s">
        <v>125</v>
      </c>
      <c r="B19" s="2" t="s">
        <v>126</v>
      </c>
      <c r="C19" s="2" t="s">
        <v>120</v>
      </c>
      <c r="D19" s="2" t="s">
        <v>114</v>
      </c>
      <c r="E19" s="2" t="s">
        <v>14</v>
      </c>
      <c r="F19" s="2" t="s">
        <v>112</v>
      </c>
      <c r="G19" s="2" t="s">
        <v>127</v>
      </c>
      <c r="H19" s="2" t="s">
        <v>128</v>
      </c>
      <c r="I19" s="2" t="s">
        <v>129</v>
      </c>
      <c r="J19" s="2" t="s">
        <v>130</v>
      </c>
    </row>
    <row r="20" customFormat="false" ht="15" hidden="false" customHeight="false" outlineLevel="0" collapsed="false">
      <c r="A20" s="2" t="s">
        <v>131</v>
      </c>
      <c r="B20" s="2" t="s">
        <v>132</v>
      </c>
      <c r="C20" s="2" t="s">
        <v>133</v>
      </c>
      <c r="D20" s="2" t="s">
        <v>134</v>
      </c>
      <c r="E20" s="2" t="s">
        <v>14</v>
      </c>
      <c r="F20" s="2" t="s">
        <v>11</v>
      </c>
      <c r="G20" s="2" t="s">
        <v>135</v>
      </c>
      <c r="H20" s="2" t="s">
        <v>136</v>
      </c>
      <c r="I20" s="2" t="s">
        <v>18</v>
      </c>
      <c r="J20" s="2" t="s">
        <v>137</v>
      </c>
    </row>
    <row r="21" customFormat="false" ht="15" hidden="false" customHeight="false" outlineLevel="0" collapsed="false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14</v>
      </c>
      <c r="F21" s="2" t="s">
        <v>88</v>
      </c>
      <c r="G21" s="2" t="s">
        <v>142</v>
      </c>
      <c r="H21" s="2" t="s">
        <v>143</v>
      </c>
      <c r="I21" s="2" t="s">
        <v>51</v>
      </c>
      <c r="J21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5" min="4" style="0" width="16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30" hidden="false" customHeight="true" outlineLevel="0" collapsed="false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customFormat="false" ht="23.85" hidden="false" customHeight="false" outlineLevel="0" collapsed="false">
      <c r="A2" s="2" t="s">
        <v>154</v>
      </c>
      <c r="B2" s="2" t="s">
        <v>155</v>
      </c>
      <c r="C2" s="2" t="s">
        <v>156</v>
      </c>
      <c r="D2" s="2" t="s">
        <v>81</v>
      </c>
      <c r="E2" s="2" t="s">
        <v>47</v>
      </c>
      <c r="F2" s="2" t="s">
        <v>157</v>
      </c>
      <c r="G2" s="2" t="s">
        <v>158</v>
      </c>
      <c r="H2" s="2" t="s">
        <v>159</v>
      </c>
      <c r="I2" s="2" t="s">
        <v>160</v>
      </c>
    </row>
    <row r="3" customFormat="false" ht="23.85" hidden="false" customHeight="false" outlineLevel="0" collapsed="false">
      <c r="A3" s="2" t="s">
        <v>161</v>
      </c>
      <c r="B3" s="2" t="s">
        <v>162</v>
      </c>
      <c r="C3" s="2" t="s">
        <v>163</v>
      </c>
      <c r="D3" s="2" t="s">
        <v>34</v>
      </c>
      <c r="E3" s="2" t="s">
        <v>41</v>
      </c>
      <c r="F3" s="2" t="s">
        <v>157</v>
      </c>
      <c r="G3" s="2" t="s">
        <v>158</v>
      </c>
      <c r="H3" s="2" t="s">
        <v>159</v>
      </c>
      <c r="I3" s="2" t="s">
        <v>164</v>
      </c>
    </row>
    <row r="4" customFormat="false" ht="23.85" hidden="false" customHeight="false" outlineLevel="0" collapsed="false">
      <c r="A4" s="2" t="s">
        <v>165</v>
      </c>
      <c r="B4" s="2" t="s">
        <v>166</v>
      </c>
      <c r="C4" s="2" t="s">
        <v>167</v>
      </c>
      <c r="D4" s="2" t="s">
        <v>21</v>
      </c>
      <c r="E4" s="2" t="s">
        <v>34</v>
      </c>
      <c r="F4" s="2" t="s">
        <v>157</v>
      </c>
      <c r="G4" s="2" t="s">
        <v>168</v>
      </c>
      <c r="H4" s="2" t="s">
        <v>169</v>
      </c>
      <c r="I4" s="2" t="s">
        <v>170</v>
      </c>
    </row>
    <row r="5" customFormat="false" ht="23.85" hidden="false" customHeight="false" outlineLevel="0" collapsed="false">
      <c r="A5" s="2" t="s">
        <v>171</v>
      </c>
      <c r="B5" s="2" t="s">
        <v>172</v>
      </c>
      <c r="C5" s="2" t="s">
        <v>173</v>
      </c>
      <c r="D5" s="2" t="s">
        <v>41</v>
      </c>
      <c r="E5" s="2" t="s">
        <v>34</v>
      </c>
      <c r="F5" s="2" t="s">
        <v>157</v>
      </c>
      <c r="G5" s="2" t="s">
        <v>168</v>
      </c>
      <c r="H5" s="2" t="s">
        <v>169</v>
      </c>
      <c r="I5" s="2" t="s">
        <v>174</v>
      </c>
    </row>
    <row r="6" customFormat="false" ht="23.85" hidden="false" customHeight="false" outlineLevel="0" collapsed="false">
      <c r="A6" s="2" t="s">
        <v>175</v>
      </c>
      <c r="B6" s="2" t="s">
        <v>176</v>
      </c>
      <c r="C6" s="2" t="s">
        <v>177</v>
      </c>
      <c r="D6" s="2" t="s">
        <v>47</v>
      </c>
      <c r="E6" s="2" t="s">
        <v>41</v>
      </c>
      <c r="F6" s="2" t="s">
        <v>157</v>
      </c>
      <c r="G6" s="2" t="s">
        <v>178</v>
      </c>
      <c r="H6" s="2" t="s">
        <v>179</v>
      </c>
      <c r="I6" s="2" t="s">
        <v>180</v>
      </c>
    </row>
    <row r="7" customFormat="false" ht="23.85" hidden="false" customHeight="false" outlineLevel="0" collapsed="false">
      <c r="A7" s="2" t="s">
        <v>181</v>
      </c>
      <c r="B7" s="2" t="s">
        <v>182</v>
      </c>
      <c r="C7" s="2" t="s">
        <v>183</v>
      </c>
      <c r="D7" s="2" t="s">
        <v>112</v>
      </c>
      <c r="E7" s="2" t="s">
        <v>81</v>
      </c>
      <c r="F7" s="2" t="s">
        <v>157</v>
      </c>
      <c r="G7" s="2" t="s">
        <v>158</v>
      </c>
      <c r="H7" s="2" t="s">
        <v>179</v>
      </c>
      <c r="I7" s="2" t="s">
        <v>184</v>
      </c>
    </row>
    <row r="8" customFormat="false" ht="23.85" hidden="false" customHeight="false" outlineLevel="0" collapsed="false">
      <c r="A8" s="2" t="s">
        <v>185</v>
      </c>
      <c r="B8" s="2" t="s">
        <v>186</v>
      </c>
      <c r="C8" s="2" t="s">
        <v>187</v>
      </c>
      <c r="D8" s="2" t="s">
        <v>139</v>
      </c>
      <c r="E8" s="2" t="s">
        <v>61</v>
      </c>
      <c r="F8" s="2" t="s">
        <v>188</v>
      </c>
      <c r="G8" s="2" t="s">
        <v>168</v>
      </c>
      <c r="H8" s="2" t="s">
        <v>169</v>
      </c>
      <c r="I8" s="2" t="s">
        <v>189</v>
      </c>
    </row>
    <row r="9" customFormat="false" ht="23.85" hidden="false" customHeight="false" outlineLevel="0" collapsed="false">
      <c r="A9" s="2" t="s">
        <v>190</v>
      </c>
      <c r="B9" s="2" t="s">
        <v>191</v>
      </c>
      <c r="C9" s="2" t="s">
        <v>192</v>
      </c>
      <c r="D9" s="2" t="s">
        <v>126</v>
      </c>
      <c r="E9" s="2" t="s">
        <v>54</v>
      </c>
      <c r="F9" s="2" t="s">
        <v>188</v>
      </c>
      <c r="G9" s="2" t="s">
        <v>158</v>
      </c>
      <c r="H9" s="2" t="s">
        <v>159</v>
      </c>
      <c r="I9" s="2" t="s">
        <v>193</v>
      </c>
    </row>
    <row r="10" customFormat="false" ht="23.85" hidden="false" customHeight="false" outlineLevel="0" collapsed="false">
      <c r="A10" s="2" t="s">
        <v>194</v>
      </c>
      <c r="B10" s="2" t="s">
        <v>195</v>
      </c>
      <c r="C10" s="2" t="s">
        <v>196</v>
      </c>
      <c r="D10" s="2" t="s">
        <v>99</v>
      </c>
      <c r="E10" s="2" t="s">
        <v>54</v>
      </c>
      <c r="F10" s="2" t="s">
        <v>188</v>
      </c>
      <c r="G10" s="2" t="s">
        <v>178</v>
      </c>
      <c r="H10" s="2" t="s">
        <v>179</v>
      </c>
      <c r="I10" s="2" t="s">
        <v>197</v>
      </c>
    </row>
    <row r="11" customFormat="false" ht="15" hidden="false" customHeight="false" outlineLevel="0" collapsed="false">
      <c r="A11" s="2" t="s">
        <v>198</v>
      </c>
      <c r="B11" s="2" t="s">
        <v>199</v>
      </c>
      <c r="C11" s="2" t="s">
        <v>200</v>
      </c>
      <c r="D11" s="2" t="s">
        <v>88</v>
      </c>
      <c r="E11" s="2" t="s">
        <v>61</v>
      </c>
      <c r="F11" s="2" t="s">
        <v>188</v>
      </c>
      <c r="G11" s="2" t="s">
        <v>178</v>
      </c>
      <c r="H11" s="2" t="s">
        <v>179</v>
      </c>
      <c r="I11" s="2" t="s">
        <v>201</v>
      </c>
    </row>
    <row r="12" customFormat="false" ht="23.85" hidden="false" customHeight="false" outlineLevel="0" collapsed="false">
      <c r="A12" s="2" t="s">
        <v>202</v>
      </c>
      <c r="B12" s="2" t="s">
        <v>203</v>
      </c>
      <c r="C12" s="2" t="s">
        <v>204</v>
      </c>
      <c r="D12" s="2" t="s">
        <v>119</v>
      </c>
      <c r="E12" s="2" t="s">
        <v>61</v>
      </c>
      <c r="F12" s="2" t="s">
        <v>188</v>
      </c>
      <c r="G12" s="2" t="s">
        <v>158</v>
      </c>
      <c r="H12" s="2" t="s">
        <v>169</v>
      </c>
      <c r="I12" s="2" t="s">
        <v>205</v>
      </c>
    </row>
    <row r="13" customFormat="false" ht="23.85" hidden="false" customHeight="false" outlineLevel="0" collapsed="false">
      <c r="A13" s="2" t="s">
        <v>206</v>
      </c>
      <c r="B13" s="2" t="s">
        <v>207</v>
      </c>
      <c r="C13" s="2" t="s">
        <v>208</v>
      </c>
      <c r="D13" s="2" t="s">
        <v>139</v>
      </c>
      <c r="E13" s="2" t="s">
        <v>54</v>
      </c>
      <c r="F13" s="2" t="s">
        <v>188</v>
      </c>
      <c r="G13" s="2" t="s">
        <v>168</v>
      </c>
      <c r="H13" s="2" t="s">
        <v>159</v>
      </c>
      <c r="I13" s="2" t="s">
        <v>209</v>
      </c>
    </row>
    <row r="14" customFormat="false" ht="23.85" hidden="false" customHeight="false" outlineLevel="0" collapsed="false">
      <c r="A14" s="2" t="s">
        <v>210</v>
      </c>
      <c r="B14" s="2" t="s">
        <v>211</v>
      </c>
      <c r="C14" s="2" t="s">
        <v>212</v>
      </c>
      <c r="D14" s="2" t="s">
        <v>106</v>
      </c>
      <c r="E14" s="2" t="s">
        <v>74</v>
      </c>
      <c r="F14" s="2" t="s">
        <v>213</v>
      </c>
      <c r="G14" s="2" t="s">
        <v>168</v>
      </c>
      <c r="H14" s="2" t="s">
        <v>169</v>
      </c>
      <c r="I14" s="2" t="s">
        <v>214</v>
      </c>
    </row>
    <row r="15" customFormat="false" ht="23.85" hidden="false" customHeight="false" outlineLevel="0" collapsed="false">
      <c r="A15" s="2" t="s">
        <v>215</v>
      </c>
      <c r="B15" s="2" t="s">
        <v>216</v>
      </c>
      <c r="C15" s="2" t="s">
        <v>217</v>
      </c>
      <c r="D15" s="2" t="s">
        <v>94</v>
      </c>
      <c r="E15" s="2" t="s">
        <v>74</v>
      </c>
      <c r="F15" s="2" t="s">
        <v>213</v>
      </c>
      <c r="G15" s="2" t="s">
        <v>168</v>
      </c>
      <c r="H15" s="2" t="s">
        <v>159</v>
      </c>
      <c r="I15" s="2" t="s">
        <v>218</v>
      </c>
    </row>
    <row r="16" customFormat="false" ht="23.85" hidden="false" customHeight="false" outlineLevel="0" collapsed="false">
      <c r="A16" s="2" t="s">
        <v>219</v>
      </c>
      <c r="B16" s="2" t="s">
        <v>220</v>
      </c>
      <c r="C16" s="2" t="s">
        <v>221</v>
      </c>
      <c r="D16" s="2" t="s">
        <v>94</v>
      </c>
      <c r="E16" s="2" t="s">
        <v>74</v>
      </c>
      <c r="F16" s="2" t="s">
        <v>213</v>
      </c>
      <c r="G16" s="2" t="s">
        <v>158</v>
      </c>
      <c r="H16" s="2" t="s">
        <v>179</v>
      </c>
      <c r="I16" s="2" t="s">
        <v>222</v>
      </c>
    </row>
    <row r="17" customFormat="false" ht="23.85" hidden="false" customHeight="false" outlineLevel="0" collapsed="false">
      <c r="A17" s="2" t="s">
        <v>223</v>
      </c>
      <c r="B17" s="2" t="s">
        <v>224</v>
      </c>
      <c r="C17" s="2" t="s">
        <v>225</v>
      </c>
      <c r="D17" s="2" t="s">
        <v>106</v>
      </c>
      <c r="E17" s="2" t="s">
        <v>94</v>
      </c>
      <c r="F17" s="2" t="s">
        <v>213</v>
      </c>
      <c r="G17" s="2" t="s">
        <v>168</v>
      </c>
      <c r="H17" s="2" t="s">
        <v>159</v>
      </c>
      <c r="I17" s="2" t="s">
        <v>226</v>
      </c>
    </row>
    <row r="18" customFormat="false" ht="23.85" hidden="false" customHeight="false" outlineLevel="0" collapsed="false">
      <c r="A18" s="2" t="s">
        <v>227</v>
      </c>
      <c r="B18" s="2" t="s">
        <v>228</v>
      </c>
      <c r="C18" s="2" t="s">
        <v>229</v>
      </c>
      <c r="D18" s="2" t="s">
        <v>66</v>
      </c>
      <c r="E18" s="2" t="s">
        <v>66</v>
      </c>
      <c r="F18" s="2" t="s">
        <v>230</v>
      </c>
      <c r="G18" s="2" t="s">
        <v>158</v>
      </c>
      <c r="H18" s="2" t="s">
        <v>169</v>
      </c>
      <c r="I18" s="2" t="s">
        <v>231</v>
      </c>
    </row>
    <row r="19" customFormat="false" ht="23.85" hidden="false" customHeight="false" outlineLevel="0" collapsed="false">
      <c r="A19" s="2" t="s">
        <v>232</v>
      </c>
      <c r="B19" s="2" t="s">
        <v>233</v>
      </c>
      <c r="C19" s="2" t="s">
        <v>234</v>
      </c>
      <c r="D19" s="2" t="s">
        <v>139</v>
      </c>
      <c r="E19" s="2" t="s">
        <v>41</v>
      </c>
      <c r="F19" s="2" t="s">
        <v>157</v>
      </c>
      <c r="G19" s="2" t="s">
        <v>168</v>
      </c>
      <c r="H19" s="2" t="s">
        <v>159</v>
      </c>
      <c r="I19" s="2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150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152</v>
      </c>
    </row>
    <row r="2" customFormat="false" ht="15" hidden="false" customHeight="false" outlineLevel="0" collapsed="false">
      <c r="A2" s="3" t="s">
        <v>36</v>
      </c>
      <c r="B2" s="3" t="s">
        <v>242</v>
      </c>
      <c r="C2" s="3" t="s">
        <v>81</v>
      </c>
      <c r="D2" s="3" t="s">
        <v>243</v>
      </c>
      <c r="E2" s="4" t="n">
        <v>3200000</v>
      </c>
      <c r="F2" s="4" t="n">
        <v>1870000</v>
      </c>
      <c r="G2" s="4" t="n">
        <f aca="false">E2-F2</f>
        <v>1330000</v>
      </c>
      <c r="H2" s="3" t="s">
        <v>244</v>
      </c>
    </row>
    <row r="3" customFormat="false" ht="15" hidden="false" customHeight="false" outlineLevel="0" collapsed="false">
      <c r="A3" s="3" t="s">
        <v>56</v>
      </c>
      <c r="B3" s="3" t="s">
        <v>242</v>
      </c>
      <c r="C3" s="3" t="s">
        <v>88</v>
      </c>
      <c r="D3" s="3" t="s">
        <v>243</v>
      </c>
      <c r="E3" s="4" t="n">
        <v>2800000</v>
      </c>
      <c r="F3" s="4" t="n">
        <v>1450000</v>
      </c>
      <c r="G3" s="4" t="n">
        <f aca="false">E3-F3</f>
        <v>1350000</v>
      </c>
      <c r="H3" s="3" t="s">
        <v>244</v>
      </c>
    </row>
    <row r="4" customFormat="false" ht="15" hidden="false" customHeight="false" outlineLevel="0" collapsed="false">
      <c r="A4" s="3" t="s">
        <v>76</v>
      </c>
      <c r="B4" s="3" t="s">
        <v>245</v>
      </c>
      <c r="C4" s="3" t="s">
        <v>94</v>
      </c>
      <c r="D4" s="3" t="s">
        <v>243</v>
      </c>
      <c r="E4" s="4" t="n">
        <v>4200000</v>
      </c>
      <c r="F4" s="4" t="n">
        <v>3100000</v>
      </c>
      <c r="G4" s="4" t="n">
        <f aca="false">E4-F4</f>
        <v>1100000</v>
      </c>
      <c r="H4" s="3" t="s">
        <v>244</v>
      </c>
    </row>
    <row r="5" customFormat="false" ht="15" hidden="false" customHeight="false" outlineLevel="0" collapsed="false">
      <c r="A5" s="3" t="s">
        <v>68</v>
      </c>
      <c r="B5" s="3" t="s">
        <v>242</v>
      </c>
      <c r="C5" s="3" t="s">
        <v>26</v>
      </c>
      <c r="D5" s="3" t="s">
        <v>243</v>
      </c>
      <c r="E5" s="4" t="n">
        <v>1500000</v>
      </c>
      <c r="F5" s="4" t="n">
        <v>610000</v>
      </c>
      <c r="G5" s="4" t="n">
        <f aca="false">E5-F5</f>
        <v>890000</v>
      </c>
      <c r="H5" s="3" t="s">
        <v>244</v>
      </c>
    </row>
    <row r="6" customFormat="false" ht="15" hidden="false" customHeight="false" outlineLevel="0" collapsed="false">
      <c r="A6" s="5" t="s">
        <v>246</v>
      </c>
      <c r="E6" s="6" t="n">
        <f aca="false">SUM(E2:E5)</f>
        <v>11700000</v>
      </c>
      <c r="F6" s="6" t="n">
        <f aca="false">SUM(F2:F5)</f>
        <v>7030000</v>
      </c>
      <c r="G6" s="6" t="n">
        <f aca="false">SUM(G2:G5)</f>
        <v>4670000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2026-09-19T06:38:12Z</dcterms:created>
  <dc:creator>openpyxl</dc:creator>
  <dc:description/>
  <dc:language>en-US</dc:language>
  <cp:lastModifiedBy/>
  <dcterms:modified xsi:type="dcterms:W3CDTF">2026-09-19T06:38:12Z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